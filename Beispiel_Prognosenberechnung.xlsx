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/>
  <mc:AlternateContent xmlns:mc="http://schemas.openxmlformats.org/markup-compatibility/2006">
    <mc:Choice Requires="x15">
      <x15ac:absPath xmlns:x15ac="http://schemas.microsoft.com/office/spreadsheetml/2010/11/ac" url="C:\Users\SenckJulius\Documents\FH HN\"/>
    </mc:Choice>
  </mc:AlternateContent>
  <xr:revisionPtr revIDLastSave="0" documentId="13_ncr:1_{86B77CB0-DB4F-40A8-8BA6-18B044FC1E4B}" xr6:coauthVersionLast="47" xr6:coauthVersionMax="47" xr10:uidLastSave="{00000000-0000-0000-0000-000000000000}"/>
  <bookViews>
    <workbookView xWindow="-28920" yWindow="-120" windowWidth="29040" windowHeight="15720" xr2:uid="{6884BB89-F676-4B23-8F6A-0F203F165DB4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14" i="1" l="1"/>
  <c r="AP14" i="1" s="1"/>
</calcChain>
</file>

<file path=xl/sharedStrings.xml><?xml version="1.0" encoding="utf-8"?>
<sst xmlns="http://schemas.openxmlformats.org/spreadsheetml/2006/main" count="102" uniqueCount="84">
  <si>
    <t>modulgruppen</t>
  </si>
  <si>
    <t>matnr</t>
  </si>
  <si>
    <t>kundnr</t>
  </si>
  <si>
    <t>vkbel</t>
  </si>
  <si>
    <t>kundabl</t>
  </si>
  <si>
    <t>wavor_bme</t>
  </si>
  <si>
    <t>bedkw</t>
  </si>
  <si>
    <t>bedmo</t>
  </si>
  <si>
    <t>verskw</t>
  </si>
  <si>
    <t>versmo</t>
  </si>
  <si>
    <t>wavor_bstlmg</t>
  </si>
  <si>
    <t>wavor_anteilpromonat</t>
  </si>
  <si>
    <t>wavor_bstlmengemonat</t>
  </si>
  <si>
    <t>wavor_bstlmgjahr</t>
  </si>
  <si>
    <t>cc_bez</t>
  </si>
  <si>
    <t>Baumarkt</t>
  </si>
  <si>
    <t>gew_bto</t>
  </si>
  <si>
    <t>geweh</t>
  </si>
  <si>
    <t>gew_bto_kg</t>
  </si>
  <si>
    <t>loevm</t>
  </si>
  <si>
    <t>lft_land</t>
  </si>
  <si>
    <t>lft_ort</t>
  </si>
  <si>
    <t>ltm_zin_lt_kategorie</t>
  </si>
  <si>
    <t>zin_lt_1_menge</t>
  </si>
  <si>
    <t>ltm_zout_lt_klasse</t>
  </si>
  <si>
    <t>ltm_zout_lt_kategorie</t>
  </si>
  <si>
    <t>lt_1_bezeichnung</t>
  </si>
  <si>
    <t>lt_1_bruttogew_in_kg</t>
  </si>
  <si>
    <t>lt_1_laenge</t>
  </si>
  <si>
    <t>lt_1_breite</t>
  </si>
  <si>
    <t>lt_1_hoehe</t>
  </si>
  <si>
    <t>lt_1_me</t>
  </si>
  <si>
    <t>lt_1_flaeche</t>
  </si>
  <si>
    <t>lt_1_feh</t>
  </si>
  <si>
    <t>lt_1_volumen</t>
  </si>
  <si>
    <t>lt_1_veh</t>
  </si>
  <si>
    <t>lt_1_menge_in_lt</t>
  </si>
  <si>
    <t>bedmo_mg</t>
  </si>
  <si>
    <t>progmo</t>
  </si>
  <si>
    <t>prog_mg1</t>
  </si>
  <si>
    <t>progmo2</t>
  </si>
  <si>
    <t>kundbez_progmo2</t>
  </si>
  <si>
    <t>prog_mg2</t>
  </si>
  <si>
    <t>diff_faktorjahr_wpp1</t>
  </si>
  <si>
    <t>diff_faktorjahr_wpp2</t>
  </si>
  <si>
    <t>anz_ps_lt1</t>
  </si>
  <si>
    <t>anz_ps_lt1_monat</t>
  </si>
  <si>
    <t>vol_anz_lt1</t>
  </si>
  <si>
    <t>anz_le</t>
  </si>
  <si>
    <t>vol_gesamt_lab_mg</t>
  </si>
  <si>
    <t>vol_gesamt_lab_mg_monat</t>
  </si>
  <si>
    <t>ct_kapa</t>
  </si>
  <si>
    <t>ct_auslastung</t>
  </si>
  <si>
    <t>ct_volds</t>
  </si>
  <si>
    <t>vol_anteil_ct</t>
  </si>
  <si>
    <t>vol_anteil_ct_monat</t>
  </si>
  <si>
    <t>verbauquote</t>
  </si>
  <si>
    <t>prog_anz_ps1</t>
  </si>
  <si>
    <t>prog_anz_ps2</t>
  </si>
  <si>
    <t>prog_vol1</t>
  </si>
  <si>
    <t>prog_vol2</t>
  </si>
  <si>
    <t>pro_ct1</t>
  </si>
  <si>
    <t>pro_ct2</t>
  </si>
  <si>
    <t>Elektroinstallation</t>
  </si>
  <si>
    <t>R0107906341</t>
  </si>
  <si>
    <t>801X</t>
  </si>
  <si>
    <t>ST</t>
  </si>
  <si>
    <t>Ost</t>
  </si>
  <si>
    <t>Bauhaus</t>
  </si>
  <si>
    <t>KG</t>
  </si>
  <si>
    <t>CZ</t>
  </si>
  <si>
    <t>Slezska Ostrava</t>
  </si>
  <si>
    <t>Stapelbehälter</t>
  </si>
  <si>
    <t>Packmittel</t>
  </si>
  <si>
    <t>Stapelbehälter Standard VDA-KLT R-Reihe</t>
  </si>
  <si>
    <t>mm</t>
  </si>
  <si>
    <t>qmm</t>
  </si>
  <si>
    <t>cM</t>
  </si>
  <si>
    <t>BBAC202711</t>
  </si>
  <si>
    <t>0.7931285</t>
  </si>
  <si>
    <t>R0107906342</t>
  </si>
  <si>
    <t>BBAC202809</t>
  </si>
  <si>
    <t>Jahr</t>
  </si>
  <si>
    <t>Artikel Bedarfsmonat 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</si>
</sst>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1" xfId="0" applyFont="1" applyFill="1" applyBorder="1"/>
    <xf numFmtId="0" fontId="0" fillId="0" borderId="1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0052-2C46-487F-86F8-519A3B6B9158}">
  <dimension ref="A1:BL15"/>
  <sheetViews>
    <sheetView tabSelected="1" workbookViewId="0">
      <selection activeCell="AN4" sqref="AN4"/>
    </sheetView>
  </sheetViews>
  <sheetFormatPr defaultColWidth="11.42578125" defaultRowHeight="14.45"/>
  <cols>
    <col min="40" max="40" width="31.85546875" bestFit="1" customWidth="1"/>
  </cols>
  <sheetData>
    <row r="1" spans="1:6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</row>
    <row r="2" spans="1:64">
      <c r="A2" t="s">
        <v>63</v>
      </c>
      <c r="B2" t="s">
        <v>64</v>
      </c>
      <c r="C2">
        <v>81900311</v>
      </c>
      <c r="D2">
        <v>30442006</v>
      </c>
      <c r="E2" t="s">
        <v>65</v>
      </c>
      <c r="F2" t="s">
        <v>66</v>
      </c>
      <c r="G2">
        <v>202547</v>
      </c>
      <c r="H2">
        <v>202511</v>
      </c>
      <c r="I2">
        <v>202538</v>
      </c>
      <c r="J2">
        <v>202509</v>
      </c>
      <c r="K2">
        <v>550</v>
      </c>
      <c r="L2">
        <v>1</v>
      </c>
      <c r="M2">
        <v>550</v>
      </c>
      <c r="N2">
        <v>550</v>
      </c>
      <c r="O2" t="s">
        <v>67</v>
      </c>
      <c r="P2" t="s">
        <v>68</v>
      </c>
      <c r="Q2">
        <v>6.0000000000000001E-3</v>
      </c>
      <c r="R2" t="s">
        <v>69</v>
      </c>
      <c r="S2">
        <v>6.0000000000000001E-3</v>
      </c>
      <c r="U2" t="s">
        <v>70</v>
      </c>
      <c r="V2" t="s">
        <v>71</v>
      </c>
      <c r="W2" t="s">
        <v>72</v>
      </c>
      <c r="X2">
        <v>550</v>
      </c>
      <c r="Y2" t="s">
        <v>73</v>
      </c>
      <c r="Z2" t="s">
        <v>72</v>
      </c>
      <c r="AA2" t="s">
        <v>74</v>
      </c>
      <c r="AB2">
        <v>2.0499999999999998</v>
      </c>
      <c r="AC2">
        <v>400</v>
      </c>
      <c r="AD2">
        <v>300</v>
      </c>
      <c r="AE2">
        <v>280</v>
      </c>
      <c r="AF2" t="s">
        <v>75</v>
      </c>
      <c r="AG2">
        <v>0.12</v>
      </c>
      <c r="AH2" t="s">
        <v>76</v>
      </c>
      <c r="AI2">
        <v>3.3599999999999998E-2</v>
      </c>
      <c r="AJ2" t="s">
        <v>77</v>
      </c>
      <c r="AK2">
        <v>550</v>
      </c>
      <c r="AL2">
        <v>36869</v>
      </c>
      <c r="AM2">
        <v>202611</v>
      </c>
      <c r="AO2">
        <v>488.71816431148102</v>
      </c>
      <c r="AP2">
        <v>202711</v>
      </c>
      <c r="AQ2" t="s">
        <v>78</v>
      </c>
      <c r="AR2">
        <v>581.74482627681698</v>
      </c>
      <c r="AS2">
        <v>0.98599812155677102</v>
      </c>
      <c r="AT2">
        <v>0</v>
      </c>
      <c r="AU2">
        <v>1</v>
      </c>
      <c r="AV2">
        <v>1</v>
      </c>
      <c r="AW2">
        <v>3.3599999999999998E-2</v>
      </c>
      <c r="AX2">
        <v>2.5000000000000001E-2</v>
      </c>
      <c r="AY2">
        <v>3.8030112499999998E-2</v>
      </c>
      <c r="AZ2">
        <v>3.8030112499999998E-2</v>
      </c>
      <c r="BA2">
        <v>76.400000000000006</v>
      </c>
      <c r="BB2" t="s">
        <v>79</v>
      </c>
      <c r="BC2">
        <v>60.595017400000003</v>
      </c>
      <c r="BD2">
        <v>6.2761121510957699E-4</v>
      </c>
      <c r="BE2">
        <v>6.2761121510957699E-4</v>
      </c>
      <c r="BF2">
        <v>5.9670726084244202E-2</v>
      </c>
      <c r="BG2">
        <v>0.88857848056632904</v>
      </c>
      <c r="BH2">
        <v>1.0577178659578499</v>
      </c>
      <c r="BI2">
        <v>3.3792739581016501E-2</v>
      </c>
      <c r="BJ2">
        <v>4.02251294356369E-2</v>
      </c>
      <c r="BK2">
        <v>5.5768181990845599E-4</v>
      </c>
      <c r="BL2">
        <v>6.6383559509691596E-4</v>
      </c>
    </row>
    <row r="3" spans="1:64">
      <c r="A3" t="s">
        <v>63</v>
      </c>
      <c r="B3" t="s">
        <v>80</v>
      </c>
      <c r="C3">
        <v>81900311</v>
      </c>
      <c r="D3">
        <v>30442006</v>
      </c>
      <c r="E3" t="s">
        <v>65</v>
      </c>
      <c r="F3" t="s">
        <v>66</v>
      </c>
      <c r="G3">
        <v>202636</v>
      </c>
      <c r="H3">
        <v>202609</v>
      </c>
      <c r="I3">
        <v>202627</v>
      </c>
      <c r="J3">
        <v>202606</v>
      </c>
      <c r="K3">
        <v>550</v>
      </c>
      <c r="L3">
        <v>1</v>
      </c>
      <c r="M3">
        <v>550</v>
      </c>
      <c r="N3">
        <v>550</v>
      </c>
      <c r="O3" t="s">
        <v>67</v>
      </c>
      <c r="P3" t="s">
        <v>68</v>
      </c>
      <c r="Q3">
        <v>6.0000000000000001E-3</v>
      </c>
      <c r="R3" t="s">
        <v>69</v>
      </c>
      <c r="S3">
        <v>6.0000000000000001E-3</v>
      </c>
      <c r="U3" t="s">
        <v>70</v>
      </c>
      <c r="V3" t="s">
        <v>71</v>
      </c>
      <c r="W3" t="s">
        <v>72</v>
      </c>
      <c r="X3">
        <v>550</v>
      </c>
      <c r="Y3" t="s">
        <v>73</v>
      </c>
      <c r="Z3" t="s">
        <v>72</v>
      </c>
      <c r="AA3" t="s">
        <v>74</v>
      </c>
      <c r="AB3">
        <v>2.0499999999999998</v>
      </c>
      <c r="AC3">
        <v>400</v>
      </c>
      <c r="AD3">
        <v>300</v>
      </c>
      <c r="AE3">
        <v>280</v>
      </c>
      <c r="AF3" t="s">
        <v>75</v>
      </c>
      <c r="AG3">
        <v>0.12</v>
      </c>
      <c r="AH3" t="s">
        <v>76</v>
      </c>
      <c r="AI3">
        <v>3.3599999999999998E-2</v>
      </c>
      <c r="AJ3" t="s">
        <v>77</v>
      </c>
      <c r="AK3">
        <v>550</v>
      </c>
      <c r="AL3">
        <v>35523</v>
      </c>
      <c r="AM3">
        <v>202709</v>
      </c>
      <c r="AO3">
        <v>614.22317934859097</v>
      </c>
      <c r="AP3">
        <v>202809</v>
      </c>
      <c r="AQ3" t="s">
        <v>81</v>
      </c>
      <c r="AR3">
        <v>491.28874250485597</v>
      </c>
      <c r="AS3">
        <v>0</v>
      </c>
      <c r="AT3">
        <v>0</v>
      </c>
      <c r="AU3">
        <v>1</v>
      </c>
      <c r="AV3">
        <v>1</v>
      </c>
      <c r="AW3">
        <v>3.3599999999999998E-2</v>
      </c>
      <c r="AX3">
        <v>2.5000000000000001E-2</v>
      </c>
      <c r="AY3">
        <v>3.8030112499999998E-2</v>
      </c>
      <c r="AZ3">
        <v>3.8030112499999998E-2</v>
      </c>
      <c r="BA3">
        <v>76.400000000000006</v>
      </c>
      <c r="BB3" t="s">
        <v>79</v>
      </c>
      <c r="BC3">
        <v>60.595017400000003</v>
      </c>
      <c r="BD3">
        <v>6.2761121510957699E-4</v>
      </c>
      <c r="BE3">
        <v>6.2761121510957699E-4</v>
      </c>
      <c r="BF3">
        <v>0.123863412437012</v>
      </c>
      <c r="BG3">
        <v>1.11676941699743</v>
      </c>
      <c r="BH3">
        <v>0.89325225909973804</v>
      </c>
      <c r="BI3">
        <v>4.2470866564971899E-2</v>
      </c>
      <c r="BJ3">
        <v>3.39704839044421E-2</v>
      </c>
      <c r="BK3">
        <v>7.0089701079897599E-4</v>
      </c>
      <c r="BL3">
        <v>5.6061513573296196E-4</v>
      </c>
    </row>
    <row r="9" spans="1:64">
      <c r="AM9" s="2" t="s">
        <v>82</v>
      </c>
      <c r="AN9" s="2" t="s">
        <v>83</v>
      </c>
      <c r="AO9" s="2"/>
      <c r="AP9" s="2"/>
    </row>
    <row r="10" spans="1:64">
      <c r="AM10" s="3">
        <v>2025</v>
      </c>
      <c r="AN10" s="3">
        <v>36869</v>
      </c>
      <c r="AO10" s="3"/>
      <c r="AP10" s="3"/>
    </row>
    <row r="11" spans="1:64">
      <c r="AM11" s="3"/>
      <c r="AN11" s="3"/>
      <c r="AO11" s="3"/>
      <c r="AP11" s="3"/>
    </row>
    <row r="12" spans="1:64">
      <c r="AM12" s="3"/>
      <c r="AN12" s="3"/>
      <c r="AO12" s="3"/>
      <c r="AP12" s="3"/>
    </row>
    <row r="13" spans="1:64">
      <c r="AM13" s="3"/>
      <c r="AN13" s="3" t="s">
        <v>83</v>
      </c>
      <c r="AO13" s="3"/>
      <c r="AP13" s="3"/>
    </row>
    <row r="14" spans="1:64">
      <c r="AM14" s="3">
        <v>2026</v>
      </c>
      <c r="AN14" s="3">
        <v>32761</v>
      </c>
      <c r="AO14" s="3">
        <f>AN14/AN10</f>
        <v>0.88857848056632949</v>
      </c>
      <c r="AP14" s="3">
        <f>550*AO14</f>
        <v>488.71816431148125</v>
      </c>
    </row>
    <row r="15" spans="1:64">
      <c r="AM15" s="3"/>
      <c r="AN15" s="3"/>
      <c r="AO15" s="3"/>
      <c r="AP15" s="3"/>
    </row>
  </sheetData>
  <phoneticPr fontId="2" type="noConversion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D608EA8C4DDA84C9F3278B6F532A943" ma:contentTypeVersion="3" ma:contentTypeDescription="Ein neues Dokument erstellen." ma:contentTypeScope="" ma:versionID="d3a44c4d7e156a01a404ba7616a31046">
  <xsd:schema xmlns:xsd="http://www.w3.org/2001/XMLSchema" xmlns:xs="http://www.w3.org/2001/XMLSchema" xmlns:p="http://schemas.microsoft.com/office/2006/metadata/properties" xmlns:ns2="35f1e2a4-a618-4a02-9021-358ad4afae33" targetNamespace="http://schemas.microsoft.com/office/2006/metadata/properties" ma:root="true" ma:fieldsID="c2a2a622eb705098e3d2eb34ce59e442" ns2:_="">
    <xsd:import namespace="35f1e2a4-a618-4a02-9021-358ad4afa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1e2a4-a618-4a02-9021-358ad4af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F0360D-4972-4DDF-A01B-73EDCCE082F9}"/>
</file>

<file path=customXml/itemProps2.xml><?xml version="1.0" encoding="utf-8"?>
<ds:datastoreItem xmlns:ds="http://schemas.openxmlformats.org/officeDocument/2006/customXml" ds:itemID="{9F9DC015-DB04-4079-9B8E-BAD78383B1DA}"/>
</file>

<file path=customXml/itemProps3.xml><?xml version="1.0" encoding="utf-8"?>
<ds:datastoreItem xmlns:ds="http://schemas.openxmlformats.org/officeDocument/2006/customXml" ds:itemID="{EA82F54C-573B-4FEF-B81C-422A220D7F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Senck, Julius</dc:creator>
  <cp:keywords/>
  <dc:description/>
  <cp:lastModifiedBy>Struthers, David</cp:lastModifiedBy>
  <cp:revision/>
  <dcterms:created xsi:type="dcterms:W3CDTF">2025-10-01T12:20:09Z</dcterms:created>
  <dcterms:modified xsi:type="dcterms:W3CDTF">2025-10-09T12:05:47Z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0x010100FD608EA8C4DDA84C9F3278B6F532A943</vt:lpwstr>
  </property>
</Properties>
</file>